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lla\Documents\Data-Analytics\week-01\Lab Work\"/>
    </mc:Choice>
  </mc:AlternateContent>
  <xr:revisionPtr revIDLastSave="0" documentId="13_ncr:1_{19F5DF3F-A4F3-42F8-A88C-DF348063674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7" sheetId="7" r:id="rId1"/>
    <sheet name="Sheet4" sheetId="4" r:id="rId2"/>
    <sheet name="Sheet8" sheetId="8" r:id="rId3"/>
    <sheet name="Sheet1" sheetId="1" r:id="rId4"/>
    <sheet name="Sheet3" sheetId="3" r:id="rId5"/>
    <sheet name="Question Answers" sheetId="2" r:id="rId6"/>
  </sheets>
  <calcPr calcId="191028"/>
  <pivotCaches>
    <pivotCache cacheId="12" r:id="rId7"/>
    <pivotCache cacheId="24" r:id="rId8"/>
    <pivotCache cacheId="3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B21" i="1"/>
  <c r="B20" i="1"/>
  <c r="B17" i="1"/>
  <c r="B16" i="1"/>
  <c r="B12" i="1"/>
  <c r="B10" i="1"/>
  <c r="B13" i="1"/>
  <c r="D2" i="1"/>
  <c r="D3" i="1"/>
  <c r="D4" i="1"/>
  <c r="D5" i="1"/>
  <c r="D6" i="1"/>
  <c r="D7" i="1"/>
  <c r="B9" i="1" l="1"/>
</calcChain>
</file>

<file path=xl/sharedStrings.xml><?xml version="1.0" encoding="utf-8"?>
<sst xmlns="http://schemas.openxmlformats.org/spreadsheetml/2006/main" count="140" uniqueCount="73">
  <si>
    <t>Id</t>
  </si>
  <si>
    <t>Start time</t>
  </si>
  <si>
    <t>Completion time</t>
  </si>
  <si>
    <t>Email</t>
  </si>
  <si>
    <t>Name</t>
  </si>
  <si>
    <t>How satisfied were you with your meal at the Krusty Krab?</t>
  </si>
  <si>
    <t>Which Krusty Krab Menu Item is your favorite? </t>
  </si>
  <si>
    <t>What made you choose the Krusty Krab over the Chum Bucket?</t>
  </si>
  <si>
    <t>Was your food prepared correctly?</t>
  </si>
  <si>
    <t>How would you rate staff friendliness?</t>
  </si>
  <si>
    <t>Did you feel as though the prices were fair for what you purchased?</t>
  </si>
  <si>
    <t>On a scale of 1-10 how likely are you to spend mon-, I mean recommend the Krusty Krab to friends and family? (1=I'd rather eat at the Chum bucket, 10=We love krabby patties)</t>
  </si>
  <si>
    <t>dnji@my.yearupunited.org</t>
  </si>
  <si>
    <t>Very satisfied</t>
  </si>
  <si>
    <t>Krabby Patty;Tripple Krabby Patty;Krabby Patty Kids Meal;Krabby Patty Pizza;</t>
  </si>
  <si>
    <t>Superior Food Quality;Customer Loyalty;Fast service;Fair and Honest pricing;Our Famous Krabby Patty;</t>
  </si>
  <si>
    <t>Yes</t>
  </si>
  <si>
    <t>Excellent</t>
  </si>
  <si>
    <t>jworrobah@my.yearupunited.org</t>
  </si>
  <si>
    <t>jordan worrobah</t>
  </si>
  <si>
    <t>Diet Dr.Kelp;Krabby Patty;</t>
  </si>
  <si>
    <t>Fast service;</t>
  </si>
  <si>
    <t>Average</t>
  </si>
  <si>
    <t>Another Yes</t>
  </si>
  <si>
    <t>clee2@my.yearupunited.org</t>
  </si>
  <si>
    <t>chantal lee</t>
  </si>
  <si>
    <t>Satisfied</t>
  </si>
  <si>
    <t>Krabby Patty Pizza;</t>
  </si>
  <si>
    <t>Customer Loyalty;Our Famous Krabby Patty;Superior Food Quality;</t>
  </si>
  <si>
    <t>Good</t>
  </si>
  <si>
    <t>msantarin@my.yearupunited.org</t>
  </si>
  <si>
    <t>marenza santarin</t>
  </si>
  <si>
    <t>Krabby Patty;Diet Dr.Kelp;</t>
  </si>
  <si>
    <t>Superior Food Quality;</t>
  </si>
  <si>
    <t>dkabakibi@my.yearupunited.org</t>
  </si>
  <si>
    <t>dania kabakibi</t>
  </si>
  <si>
    <t>Krabby Patty;Krabby Patty Pizza;</t>
  </si>
  <si>
    <t>Fast service;Superior Food Quality;</t>
  </si>
  <si>
    <t>sweaver@my.yearupunited.org</t>
  </si>
  <si>
    <t>sharya weaver</t>
  </si>
  <si>
    <t>Krabby Patty;</t>
  </si>
  <si>
    <t>Our Famous Krabby Patty;</t>
  </si>
  <si>
    <t>a)I think the "ID" column was added to keep track of how many people filled out the form.</t>
  </si>
  <si>
    <t>Question 3</t>
  </si>
  <si>
    <t>QUESTION FOUR</t>
  </si>
  <si>
    <t>B)When changed to short date it goes back to the standard date format of Month day year and removes the time.</t>
  </si>
  <si>
    <t xml:space="preserve">C)it goes from a date format to an excel serial number for date. </t>
  </si>
  <si>
    <t>Time to complete</t>
  </si>
  <si>
    <t>Average time to complete</t>
  </si>
  <si>
    <t>Staff Friendlyness (Excellent)</t>
  </si>
  <si>
    <t>Staff Friendlyness (Average)</t>
  </si>
  <si>
    <t>Staff Friendlyness (Good)</t>
  </si>
  <si>
    <t>Satisfaction (Very)</t>
  </si>
  <si>
    <t>Satisfaction (Satisfied)</t>
  </si>
  <si>
    <t>Fair Prices? (Yes)</t>
  </si>
  <si>
    <t>Fair Prices? (Another Yes)</t>
  </si>
  <si>
    <t>Row Labels</t>
  </si>
  <si>
    <t>Grand Total</t>
  </si>
  <si>
    <t>Count of How satisfied were you with your meal at the Krusty Krab?</t>
  </si>
  <si>
    <t>Count of Did you feel as though the prices were fair for what you purchased?</t>
  </si>
  <si>
    <t>Krabby Patty</t>
  </si>
  <si>
    <t>Tripple Krabby Patty</t>
  </si>
  <si>
    <t>Krabby Patty Kids Meal</t>
  </si>
  <si>
    <t>Krabby Patty Pizza</t>
  </si>
  <si>
    <t>Diet Dr.Kelp</t>
  </si>
  <si>
    <t>Items</t>
  </si>
  <si>
    <t>Count of Items</t>
  </si>
  <si>
    <t>Superior Food Quality</t>
  </si>
  <si>
    <t>Customer Loyalty</t>
  </si>
  <si>
    <t>Fast service</t>
  </si>
  <si>
    <t>Fair and Honest pricing</t>
  </si>
  <si>
    <t>Our Famous Krabby Patty</t>
  </si>
  <si>
    <t>Count of Fair and Honest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</si>
</sst>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/dd/yyyy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Alignment="1"/>
    <xf numFmtId="0" fontId="0" fillId="0" borderId="0" xfId="0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NumberFormat="1"/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/>
    <xf numFmtId="169" fontId="0" fillId="0" borderId="0" xfId="0" applyNumberFormat="1"/>
    <xf numFmtId="49" fontId="0" fillId="0" borderId="0" xfId="0" applyNumberFormat="1"/>
    <xf numFmtId="49" fontId="2" fillId="0" borderId="13" xfId="0" applyNumberFormat="1" applyFont="1" applyBorder="1"/>
    <xf numFmtId="0" fontId="2" fillId="0" borderId="13" xfId="0" applyFont="1" applyBorder="1"/>
    <xf numFmtId="169" fontId="2" fillId="0" borderId="13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4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9" formatCode="mm/dd/yyyy\ hh:mm:ss"/>
    </dxf>
    <dxf>
      <numFmt numFmtId="169" formatCode="mm/dd/yyyy\ hh:mm:ss"/>
    </dxf>
    <dxf>
      <numFmt numFmtId="0" formatCode="General"/>
    </dxf>
    <dxf>
      <numFmt numFmtId="30" formatCode="@"/>
    </dxf>
    <dxf>
      <numFmt numFmtId="169" formatCode="mm/dd/yyyy\ hh:mm:ss"/>
    </dxf>
    <dxf>
      <numFmt numFmtId="169" formatCode="mm/dd/yyyy\ hh:mm:ss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9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Krusty Krab Satisfaction Survey.xlsx]Sheet7!PivotTable7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Sheet7!$A$4:$A$9</c:f>
              <c:strCache>
                <c:ptCount val="5"/>
                <c:pt idx="0">
                  <c:v>Diet Dr.Kelp</c:v>
                </c:pt>
                <c:pt idx="1">
                  <c:v>Krabby Patty</c:v>
                </c:pt>
                <c:pt idx="2">
                  <c:v>Krabby Patty Kids Meal</c:v>
                </c:pt>
                <c:pt idx="3">
                  <c:v>Krabby Patty Pizza</c:v>
                </c:pt>
                <c:pt idx="4">
                  <c:v>Tripple Krabby Patty</c:v>
                </c:pt>
              </c:strCache>
            </c:strRef>
          </c:cat>
          <c:val>
            <c:numRef>
              <c:f>Sheet7!$B$4:$B$9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8-4742-A240-0F1ED07F1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Krusty Krab Satisfaction Survey.xlsx]Sheet4!PivotTable4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Sheet4!$A$4:$A$6</c:f>
              <c:strCache>
                <c:ptCount val="2"/>
                <c:pt idx="0">
                  <c:v>Another Yes</c:v>
                </c:pt>
                <c:pt idx="1">
                  <c:v>Yes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AD7-4264-871C-5B4015839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674191"/>
        <c:axId val="1532674671"/>
      </c:lineChart>
      <c:valAx>
        <c:axId val="15326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674191"/>
        <c:crosses val="autoZero"/>
        <c:crossBetween val="between"/>
      </c:valAx>
      <c:catAx>
        <c:axId val="153267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674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Krusty Krab Satisfaction Survey.xlsx]Sheet8!PivotTable10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318858913127661"/>
          <c:y val="0.22710113418698774"/>
          <c:w val="0.42788072802375116"/>
          <c:h val="0.7425527256717892"/>
        </c:manualLayout>
      </c:layout>
      <c:doughnut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Sheet8!$A$4:$A$9</c:f>
              <c:strCache>
                <c:ptCount val="5"/>
                <c:pt idx="0">
                  <c:v>Customer Loyalty</c:v>
                </c:pt>
                <c:pt idx="1">
                  <c:v>Fair and Honest pricing</c:v>
                </c:pt>
                <c:pt idx="2">
                  <c:v>Fast service</c:v>
                </c:pt>
                <c:pt idx="3">
                  <c:v>Our Famous Krabby Patty</c:v>
                </c:pt>
                <c:pt idx="4">
                  <c:v>Superior Food Quality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C-4B7E-9BE1-18AFE2B49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Krusty Krab Satisfaction Survey.xlsx]Sheet3!PivotTable1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Sheet3!$A$2:$A$4</c:f>
              <c:strCache>
                <c:ptCount val="2"/>
                <c:pt idx="0">
                  <c:v>Satisfied</c:v>
                </c:pt>
                <c:pt idx="1">
                  <c:v>Very satisfied</c:v>
                </c:pt>
              </c:strCache>
            </c:strRef>
          </c:cat>
          <c:val>
            <c:numRef>
              <c:f>Sheet3!$B$2:$B$4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1-4427-A2DC-DAE489FD6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21007"/>
        <c:axId val="110021487"/>
      </c:barChart>
      <c:catAx>
        <c:axId val="11002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21487"/>
        <c:crosses val="autoZero"/>
        <c:auto val="1"/>
        <c:lblAlgn val="ctr"/>
        <c:lblOffset val="100"/>
        <c:noMultiLvlLbl val="0"/>
      </c:catAx>
      <c:valAx>
        <c:axId val="11002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2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33337</xdr:rowOff>
    </xdr:from>
    <xdr:to>
      <xdr:col>9</xdr:col>
      <xdr:colOff>314325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FBDE62-E5CF-7C63-1442-20FFD1791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6</xdr:col>
      <xdr:colOff>3714750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10ECCC-5E65-9AC4-DE11-FA6068B44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</xdr:row>
      <xdr:rowOff>38100</xdr:rowOff>
    </xdr:from>
    <xdr:to>
      <xdr:col>11</xdr:col>
      <xdr:colOff>571500</xdr:colOff>
      <xdr:row>18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2AACF-768C-38F2-CE03-9E4EC9C26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CF9192-6B74-C203-8EAA-0FEA0D192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lla Malpratice" refreshedDate="46125.044714814816" createdVersion="8" refreshedVersion="8" minRefreshableVersion="3" recordCount="6" xr:uid="{02353433-35B6-47BA-82BC-9B55B4041C6A}">
  <cacheSource type="worksheet">
    <worksheetSource name="OfficeForms.Table"/>
  </cacheSource>
  <cacheFields count="13">
    <cacheField name="Id" numFmtId="0">
      <sharedItems containsSemiMixedTypes="0" containsString="0" containsNumber="1" containsInteger="1" minValue="1" maxValue="6"/>
    </cacheField>
    <cacheField name="Start time" numFmtId="169">
      <sharedItems containsSemiMixedTypes="0" containsNonDate="0" containsDate="1" containsString="0" minDate="2026-04-10T11:40:32" maxDate="2026-04-10T20:37:47"/>
    </cacheField>
    <cacheField name="Completion time" numFmtId="169">
      <sharedItems containsSemiMixedTypes="0" containsNonDate="0" containsDate="1" containsString="0" minDate="2026-04-10T11:41:06" maxDate="2026-04-10T20:38:40"/>
    </cacheField>
    <cacheField name="Time to complete" numFmtId="169">
      <sharedItems containsSemiMixedTypes="0" containsNonDate="0" containsDate="1" containsString="0" minDate="1899-12-30T00:00:34" maxDate="1899-12-30T00:02:48"/>
    </cacheField>
    <cacheField name="Email" numFmtId="0">
      <sharedItems/>
    </cacheField>
    <cacheField name="Name" numFmtId="0">
      <sharedItems/>
    </cacheField>
    <cacheField name="How satisfied were you with your meal at the Krusty Krab?" numFmtId="0">
      <sharedItems count="2">
        <s v="Very satisfied"/>
        <s v="Satisfied"/>
      </sharedItems>
    </cacheField>
    <cacheField name="Which Krusty Krab Menu Item is your favorite? " numFmtId="0">
      <sharedItems count="6">
        <s v="Krabby Patty;Tripple Krabby Patty;Krabby Patty Kids Meal;Krabby Patty Pizza;"/>
        <s v="Diet Dr.Kelp;Krabby Patty;"/>
        <s v="Krabby Patty Pizza;"/>
        <s v="Krabby Patty;Diet Dr.Kelp;"/>
        <s v="Krabby Patty;Krabby Patty Pizza;"/>
        <s v="Krabby Patty;"/>
      </sharedItems>
    </cacheField>
    <cacheField name="What made you choose the Krusty Krab over the Chum Bucket?" numFmtId="0">
      <sharedItems/>
    </cacheField>
    <cacheField name="Was your food prepared correctly?" numFmtId="0">
      <sharedItems count="1">
        <s v="Yes"/>
      </sharedItems>
    </cacheField>
    <cacheField name="How would you rate staff friendliness?" numFmtId="0">
      <sharedItems/>
    </cacheField>
    <cacheField name="Did you feel as though the prices were fair for what you purchased?" numFmtId="0">
      <sharedItems count="2">
        <s v="Yes"/>
        <s v="Another Yes"/>
      </sharedItems>
    </cacheField>
    <cacheField name="On a scale of 1-10 how likely are you to spend mon-, I mean recommend the Krusty Krab to friends and family? (1=I'd rather eat at the Chum bucket, 10=We love krabby patties)" numFmtId="0">
      <sharedItems containsSemiMixedTypes="0" containsString="0" containsNumber="1" containsInteger="1" minValue="7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lla Malpratice" refreshedDate="46125.05584641204" createdVersion="8" refreshedVersion="8" minRefreshableVersion="3" recordCount="12" xr:uid="{BBD31308-B9F2-4C94-B9F6-2676029C7DB7}">
  <cacheSource type="worksheet">
    <worksheetSource ref="A23:A35" sheet="Sheet1"/>
  </cacheSource>
  <cacheFields count="1">
    <cacheField name="Items" numFmtId="0">
      <sharedItems count="5">
        <s v="Krabby Patty"/>
        <s v="Diet Dr.Kelp"/>
        <s v="Krabby Patty Pizza"/>
        <s v="Tripple Krabby Patty"/>
        <s v="Krabby Patty Kids Me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lla Malpratice" refreshedDate="46125.061724652776" createdVersion="8" refreshedVersion="8" minRefreshableVersion="3" recordCount="25" xr:uid="{ACA132AB-D80D-4637-898A-708CFBBC6290}">
  <cacheSource type="worksheet">
    <worksheetSource ref="A38:A63" sheet="Sheet1"/>
  </cacheSource>
  <cacheFields count="1">
    <cacheField name="Fair and Honest pricing" numFmtId="0">
      <sharedItems count="5">
        <s v="Superior Food Quality"/>
        <s v="Fast service"/>
        <s v="Customer Loyalty"/>
        <s v="Our Famous Krabby Patty"/>
        <s v="Fair and Honest pric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d v="2026-04-10T11:40:32"/>
    <d v="2026-04-10T11:41:06"/>
    <d v="1899-12-30T00:00:34"/>
    <s v="dnji@my.yearupunited.org"/>
    <s v="dnji@my.yearupunited.org"/>
    <x v="0"/>
    <x v="0"/>
    <s v="Superior Food Quality;Customer Loyalty;Fast service;Fair and Honest pricing;Our Famous Krabby Patty;"/>
    <x v="0"/>
    <s v="Excellent"/>
    <x v="0"/>
    <n v="7"/>
  </r>
  <r>
    <n v="2"/>
    <d v="2026-04-10T11:41:08"/>
    <d v="2026-04-10T11:42:11"/>
    <d v="1899-12-30T00:01:03"/>
    <s v="jworrobah@my.yearupunited.org"/>
    <s v="jordan worrobah"/>
    <x v="0"/>
    <x v="1"/>
    <s v="Fast service;"/>
    <x v="0"/>
    <s v="Average"/>
    <x v="1"/>
    <n v="10"/>
  </r>
  <r>
    <n v="3"/>
    <d v="2026-04-10T11:40:36"/>
    <d v="2026-04-10T11:43:24"/>
    <d v="1899-12-30T00:02:48"/>
    <s v="clee2@my.yearupunited.org"/>
    <s v="chantal lee"/>
    <x v="1"/>
    <x v="2"/>
    <s v="Customer Loyalty;Our Famous Krabby Patty;Superior Food Quality;"/>
    <x v="0"/>
    <s v="Good"/>
    <x v="1"/>
    <n v="10"/>
  </r>
  <r>
    <n v="4"/>
    <d v="2026-04-10T12:24:32"/>
    <d v="2026-04-10T12:25:40"/>
    <d v="1899-12-30T00:01:08"/>
    <s v="msantarin@my.yearupunited.org"/>
    <s v="marenza santarin"/>
    <x v="1"/>
    <x v="3"/>
    <s v="Superior Food Quality;"/>
    <x v="0"/>
    <s v="Average"/>
    <x v="0"/>
    <n v="10"/>
  </r>
  <r>
    <n v="5"/>
    <d v="2026-04-10T17:10:32"/>
    <d v="2026-04-10T17:12:53"/>
    <d v="1899-12-30T00:02:21"/>
    <s v="dkabakibi@my.yearupunited.org"/>
    <s v="dania kabakibi"/>
    <x v="0"/>
    <x v="4"/>
    <s v="Fast service;Superior Food Quality;"/>
    <x v="0"/>
    <s v="Good"/>
    <x v="0"/>
    <n v="10"/>
  </r>
  <r>
    <n v="6"/>
    <d v="2026-04-10T20:37:47"/>
    <d v="2026-04-10T20:38:40"/>
    <d v="1899-12-30T00:00:53"/>
    <s v="sweaver@my.yearupunited.org"/>
    <s v="sharya weaver"/>
    <x v="0"/>
    <x v="5"/>
    <s v="Our Famous Krabby Patty;"/>
    <x v="0"/>
    <s v="Good"/>
    <x v="0"/>
    <n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</r>
  <r>
    <x v="1"/>
  </r>
  <r>
    <x v="2"/>
  </r>
  <r>
    <x v="0"/>
  </r>
  <r>
    <x v="0"/>
  </r>
  <r>
    <x v="0"/>
  </r>
  <r>
    <x v="3"/>
  </r>
  <r>
    <x v="0"/>
  </r>
  <r>
    <x v="4"/>
  </r>
  <r>
    <x v="1"/>
  </r>
  <r>
    <x v="2"/>
  </r>
  <r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</r>
  <r>
    <x v="1"/>
  </r>
  <r>
    <x v="2"/>
  </r>
  <r>
    <x v="0"/>
  </r>
  <r>
    <x v="1"/>
  </r>
  <r>
    <x v="3"/>
  </r>
  <r>
    <x v="0"/>
  </r>
  <r>
    <x v="1"/>
  </r>
  <r>
    <x v="2"/>
  </r>
  <r>
    <x v="0"/>
  </r>
  <r>
    <x v="1"/>
  </r>
  <r>
    <x v="3"/>
  </r>
  <r>
    <x v="2"/>
  </r>
  <r>
    <x v="3"/>
  </r>
  <r>
    <x v="0"/>
  </r>
  <r>
    <x v="2"/>
  </r>
  <r>
    <x v="3"/>
  </r>
  <r>
    <x v="0"/>
  </r>
  <r>
    <x v="1"/>
  </r>
  <r>
    <x v="0"/>
  </r>
  <r>
    <x v="1"/>
  </r>
  <r>
    <x v="0"/>
  </r>
  <r>
    <x v="4"/>
  </r>
  <r>
    <x v="3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5365B-4A6E-4DD3-8F65-4038D2BF07F6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">
    <pivotField axis="axisRow" dataField="1" showAll="0">
      <items count="6">
        <item x="1"/>
        <item x="0"/>
        <item x="4"/>
        <item x="2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tem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87BFD-2FF6-4D44-A758-261FBD1370DC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6" firstHeaderRow="1" firstDataRow="1" firstDataCol="1"/>
  <pivotFields count="13">
    <pivotField showAll="0"/>
    <pivotField numFmtId="169" showAll="0"/>
    <pivotField numFmtId="169" showAll="0"/>
    <pivotField numFmtId="169" showAll="0"/>
    <pivotField showAll="0"/>
    <pivotField showAll="0"/>
    <pivotField showAll="0"/>
    <pivotField showAll="0">
      <items count="7">
        <item x="1"/>
        <item x="2"/>
        <item x="5"/>
        <item x="3"/>
        <item x="4"/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axis="axisRow" dataField="1" showAll="0">
      <items count="3">
        <item x="1"/>
        <item x="0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Did you feel as though the prices were fair for what you purchased?" fld="11" subtotal="count" baseField="0" baseItem="0"/>
  </dataFields>
  <chartFormats count="1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5A285-D581-47B2-A3AA-58097AD7BC44}" name="PivotTable10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">
    <pivotField axis="axisRow" dataField="1" showAll="0">
      <items count="6">
        <item x="2"/>
        <item x="4"/>
        <item x="1"/>
        <item x="3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air and Honest pricing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9041D-861B-46E6-BB64-E3DC518E5803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13">
    <pivotField showAll="0"/>
    <pivotField numFmtId="169" showAll="0"/>
    <pivotField numFmtId="169" showAll="0"/>
    <pivotField numFmtId="169"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How satisfied were you with your meal at the Krusty Krab?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8" totalsRowCount="1">
  <autoFilter ref="A1:M7" xr:uid="{00000000-0009-0000-0100-000001000000}"/>
  <tableColumns count="13">
    <tableColumn id="1" xr3:uid="{00000000-0010-0000-0000-000001000000}" name="Id" dataDxfId="23" totalsRow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2" totalsRowDxfId="9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12" totalsRowDxfId="8">
      <extLst>
        <ext xmlns:xlmsforms="http://schemas.microsoft.com/office/spreadsheetml/2023/msForms" uri="{FCC71383-01E1-4257-9335-427F07BE8D7F}">
          <xlmsforms:question id="submitDate"/>
        </ext>
      </extLst>
    </tableColumn>
    <tableColumn id="13" xr3:uid="{77FA949B-CA3F-4E2F-94C4-2F8AE6290876}" name="Time to complete" dataDxfId="13">
      <calculatedColumnFormula>C2-B2</calculatedColumnFormula>
    </tableColumn>
    <tableColumn id="4" xr3:uid="{00000000-0010-0000-0000-000004000000}" name="Email" dataDxfId="11" totalsRow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1" totalsRow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satisfied were you with your meal at the Krusty Krab?" dataDxfId="20" totalsRowDxfId="5">
      <extLst>
        <ext xmlns:xlmsforms="http://schemas.microsoft.com/office/spreadsheetml/2023/msForms" uri="{FCC71383-01E1-4257-9335-427F07BE8D7F}">
          <xlmsforms:question id="rf708436d80a745c79954a3067356746c"/>
        </ext>
      </extLst>
    </tableColumn>
    <tableColumn id="7" xr3:uid="{00000000-0010-0000-0000-000007000000}" name="Which Krusty Krab Menu Item is your favorite? " dataDxfId="19" totalsRowDxfId="4">
      <extLst>
        <ext xmlns:xlmsforms="http://schemas.microsoft.com/office/spreadsheetml/2023/msForms" uri="{FCC71383-01E1-4257-9335-427F07BE8D7F}">
          <xlmsforms:question id="rc8e2202f45d94d478fe628245c7e9e86"/>
        </ext>
      </extLst>
    </tableColumn>
    <tableColumn id="8" xr3:uid="{00000000-0010-0000-0000-000008000000}" name="What made you choose the Krusty Krab over the Chum Bucket?" dataDxfId="18" totalsRowDxfId="3">
      <extLst>
        <ext xmlns:xlmsforms="http://schemas.microsoft.com/office/spreadsheetml/2023/msForms" uri="{FCC71383-01E1-4257-9335-427F07BE8D7F}">
          <xlmsforms:question id="r76e55d52e3844c9dad50a80fae982b14"/>
        </ext>
      </extLst>
    </tableColumn>
    <tableColumn id="9" xr3:uid="{00000000-0010-0000-0000-000009000000}" name="Was your food prepared correctly?" dataDxfId="17" totalsRowDxfId="2">
      <extLst>
        <ext xmlns:xlmsforms="http://schemas.microsoft.com/office/spreadsheetml/2023/msForms" uri="{FCC71383-01E1-4257-9335-427F07BE8D7F}">
          <xlmsforms:question id="r25607dacbb9242deab2f825ee2e7a4b3"/>
        </ext>
      </extLst>
    </tableColumn>
    <tableColumn id="10" xr3:uid="{00000000-0010-0000-0000-00000A000000}" name="How would you rate staff friendliness?" dataDxfId="16">
      <extLst>
        <ext xmlns:xlmsforms="http://schemas.microsoft.com/office/spreadsheetml/2023/msForms" uri="{FCC71383-01E1-4257-9335-427F07BE8D7F}">
          <xlmsforms:question id="r10d236c448be4e5e9f19ffae1926119e"/>
        </ext>
      </extLst>
    </tableColumn>
    <tableColumn id="11" xr3:uid="{00000000-0010-0000-0000-00000B000000}" name="Did you feel as though the prices were fair for what you purchased?" dataDxfId="15" totalsRowDxfId="1">
      <extLst>
        <ext xmlns:xlmsforms="http://schemas.microsoft.com/office/spreadsheetml/2023/msForms" uri="{FCC71383-01E1-4257-9335-427F07BE8D7F}">
          <xlmsforms:question id="r7240afd81976489bb92ac57b89bbbe82"/>
        </ext>
      </extLst>
    </tableColumn>
    <tableColumn id="12" xr3:uid="{00000000-0010-0000-0000-00000C000000}" name="On a scale of 1-10 how likely are you to spend mon-, I mean recommend the Krusty Krab to friends and family? (1=I'd rather eat at the Chum bucket, 10=We love krabby patties)" totalsRowFunction="custom" dataDxfId="14" totalsRowDxfId="0">
      <totalsRowFormula>AVERAGE(M2:M7)</totalsRowFormula>
      <extLst>
        <ext xmlns:xlmsforms="http://schemas.microsoft.com/office/spreadsheetml/2023/msForms" uri="{FCC71383-01E1-4257-9335-427F07BE8D7F}">
          <xlmsforms:question id="rddd0077498304548b53044ba88728f0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yZTdm5NtIJEn3knV2ZFw9FURVBVMllWNTQ5MjExV0s4VkVUREk4UVBNSi4u" isFormConnected="1" maxResponseId="6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rf708436d80a745c79954a3067356746c</xlmsforms:syncedQuestionId>
        <xlmsforms:syncedQuestionId>rc8e2202f45d94d478fe628245c7e9e86</xlmsforms:syncedQuestionId>
        <xlmsforms:syncedQuestionId>r76e55d52e3844c9dad50a80fae982b14</xlmsforms:syncedQuestionId>
        <xlmsforms:syncedQuestionId>r25607dacbb9242deab2f825ee2e7a4b3</xlmsforms:syncedQuestionId>
        <xlmsforms:syncedQuestionId>r10d236c448be4e5e9f19ffae1926119e</xlmsforms:syncedQuestionId>
        <xlmsforms:syncedQuestionId>r7240afd81976489bb92ac57b89bbbe82</xlmsforms:syncedQuestionId>
        <xlmsforms:syncedQuestionId>rddd0077498304548b53044ba88728f0a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2D8C-9ECC-42CE-8EDC-3447E8A4F97B}">
  <dimension ref="A3:B9"/>
  <sheetViews>
    <sheetView workbookViewId="0">
      <selection activeCell="A3" sqref="A3"/>
    </sheetView>
  </sheetViews>
  <sheetFormatPr defaultRowHeight="15" x14ac:dyDescent="0.25"/>
  <cols>
    <col min="1" max="1" width="21.5703125" bestFit="1" customWidth="1"/>
    <col min="2" max="2" width="14.140625" bestFit="1" customWidth="1"/>
  </cols>
  <sheetData>
    <row r="3" spans="1:2" x14ac:dyDescent="0.25">
      <c r="A3" s="26" t="s">
        <v>56</v>
      </c>
      <c r="B3" t="s">
        <v>66</v>
      </c>
    </row>
    <row r="4" spans="1:2" x14ac:dyDescent="0.25">
      <c r="A4" s="27" t="s">
        <v>64</v>
      </c>
      <c r="B4" s="14">
        <v>2</v>
      </c>
    </row>
    <row r="5" spans="1:2" x14ac:dyDescent="0.25">
      <c r="A5" s="27" t="s">
        <v>60</v>
      </c>
      <c r="B5" s="14">
        <v>5</v>
      </c>
    </row>
    <row r="6" spans="1:2" x14ac:dyDescent="0.25">
      <c r="A6" s="27" t="s">
        <v>62</v>
      </c>
      <c r="B6" s="14">
        <v>1</v>
      </c>
    </row>
    <row r="7" spans="1:2" x14ac:dyDescent="0.25">
      <c r="A7" s="27" t="s">
        <v>63</v>
      </c>
      <c r="B7" s="14">
        <v>3</v>
      </c>
    </row>
    <row r="8" spans="1:2" x14ac:dyDescent="0.25">
      <c r="A8" s="27" t="s">
        <v>61</v>
      </c>
      <c r="B8" s="14">
        <v>1</v>
      </c>
    </row>
    <row r="9" spans="1:2" x14ac:dyDescent="0.25">
      <c r="A9" s="27" t="s">
        <v>57</v>
      </c>
      <c r="B9" s="14">
        <v>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5F89-C0F2-42ED-B986-ADCC3B5A4BF5}">
  <dimension ref="A3:B6"/>
  <sheetViews>
    <sheetView workbookViewId="0"/>
  </sheetViews>
  <sheetFormatPr defaultRowHeight="15" x14ac:dyDescent="0.25"/>
  <cols>
    <col min="1" max="1" width="13.140625" bestFit="1" customWidth="1"/>
    <col min="2" max="2" width="70.42578125" bestFit="1" customWidth="1"/>
    <col min="3" max="3" width="11.28515625" bestFit="1" customWidth="1"/>
    <col min="4" max="4" width="12.7109375" bestFit="1" customWidth="1"/>
    <col min="5" max="5" width="24.42578125" bestFit="1" customWidth="1"/>
    <col min="6" max="6" width="30" bestFit="1" customWidth="1"/>
    <col min="7" max="7" width="70.5703125" bestFit="1" customWidth="1"/>
    <col min="8" max="8" width="11.28515625" bestFit="1" customWidth="1"/>
  </cols>
  <sheetData>
    <row r="3" spans="1:2" x14ac:dyDescent="0.25">
      <c r="A3" s="26" t="s">
        <v>56</v>
      </c>
      <c r="B3" t="s">
        <v>59</v>
      </c>
    </row>
    <row r="4" spans="1:2" x14ac:dyDescent="0.25">
      <c r="A4" s="27" t="s">
        <v>23</v>
      </c>
      <c r="B4" s="14">
        <v>2</v>
      </c>
    </row>
    <row r="5" spans="1:2" x14ac:dyDescent="0.25">
      <c r="A5" s="27" t="s">
        <v>16</v>
      </c>
      <c r="B5" s="14">
        <v>4</v>
      </c>
    </row>
    <row r="6" spans="1:2" x14ac:dyDescent="0.25">
      <c r="A6" s="27" t="s">
        <v>57</v>
      </c>
      <c r="B6" s="14">
        <v>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19B3-3B9A-4832-8278-16044D4957F5}">
  <dimension ref="A3:B9"/>
  <sheetViews>
    <sheetView tabSelected="1" workbookViewId="0">
      <selection activeCell="O15" sqref="O15"/>
    </sheetView>
  </sheetViews>
  <sheetFormatPr defaultRowHeight="15" x14ac:dyDescent="0.25"/>
  <cols>
    <col min="1" max="1" width="23.5703125" bestFit="1" customWidth="1"/>
    <col min="2" max="2" width="29.85546875" bestFit="1" customWidth="1"/>
  </cols>
  <sheetData>
    <row r="3" spans="1:2" x14ac:dyDescent="0.25">
      <c r="A3" s="26" t="s">
        <v>56</v>
      </c>
      <c r="B3" t="s">
        <v>72</v>
      </c>
    </row>
    <row r="4" spans="1:2" x14ac:dyDescent="0.25">
      <c r="A4" s="27" t="s">
        <v>68</v>
      </c>
      <c r="B4" s="14">
        <v>4</v>
      </c>
    </row>
    <row r="5" spans="1:2" x14ac:dyDescent="0.25">
      <c r="A5" s="27" t="s">
        <v>70</v>
      </c>
      <c r="B5" s="14">
        <v>1</v>
      </c>
    </row>
    <row r="6" spans="1:2" x14ac:dyDescent="0.25">
      <c r="A6" s="27" t="s">
        <v>69</v>
      </c>
      <c r="B6" s="14">
        <v>6</v>
      </c>
    </row>
    <row r="7" spans="1:2" x14ac:dyDescent="0.25">
      <c r="A7" s="27" t="s">
        <v>71</v>
      </c>
      <c r="B7" s="14">
        <v>6</v>
      </c>
    </row>
    <row r="8" spans="1:2" x14ac:dyDescent="0.25">
      <c r="A8" s="27" t="s">
        <v>67</v>
      </c>
      <c r="B8" s="14">
        <v>8</v>
      </c>
    </row>
    <row r="9" spans="1:2" x14ac:dyDescent="0.25">
      <c r="A9" s="27" t="s">
        <v>57</v>
      </c>
      <c r="B9" s="14">
        <v>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opLeftCell="A31" workbookViewId="0">
      <selection activeCell="A37" sqref="A37:A63"/>
    </sheetView>
  </sheetViews>
  <sheetFormatPr defaultRowHeight="15" x14ac:dyDescent="0.25"/>
  <cols>
    <col min="1" max="1" width="52.42578125" customWidth="1"/>
    <col min="2" max="2" width="20" bestFit="1" customWidth="1"/>
    <col min="3" max="4" width="23.42578125" customWidth="1"/>
    <col min="5" max="5" width="32.7109375" customWidth="1"/>
    <col min="6" max="7" width="20" bestFit="1" customWidth="1"/>
    <col min="8" max="8" width="70.42578125" bestFit="1" customWidth="1"/>
    <col min="9" max="9" width="93.85546875" bestFit="1" customWidth="1"/>
    <col min="10" max="10" width="34.5703125" bestFit="1" customWidth="1"/>
    <col min="11" max="11" width="38.28515625" bestFit="1" customWidth="1"/>
    <col min="12" max="12" width="64.42578125" bestFit="1" customWidth="1"/>
    <col min="13" max="13" width="162.5703125" bestFit="1" customWidth="1"/>
  </cols>
  <sheetData>
    <row r="1" spans="1:13" x14ac:dyDescent="0.25">
      <c r="A1" t="s">
        <v>0</v>
      </c>
      <c r="B1" s="21" t="s">
        <v>1</v>
      </c>
      <c r="C1" t="s">
        <v>2</v>
      </c>
      <c r="D1" t="s">
        <v>47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 s="21">
        <v>46122.486481481501</v>
      </c>
      <c r="C2" s="21">
        <v>46122.486875000002</v>
      </c>
      <c r="D2" s="21">
        <f t="shared" ref="D2:D7" si="0">C2-B2</f>
        <v>3.9351850136881694E-4</v>
      </c>
      <c r="E2" t="s">
        <v>12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16</v>
      </c>
      <c r="M2">
        <v>7</v>
      </c>
    </row>
    <row r="3" spans="1:13" x14ac:dyDescent="0.25">
      <c r="A3">
        <v>2</v>
      </c>
      <c r="B3" s="21">
        <v>46122.486898148149</v>
      </c>
      <c r="C3" s="21">
        <v>46122.487627314818</v>
      </c>
      <c r="D3" s="21">
        <f t="shared" si="0"/>
        <v>7.2916666977107525E-4</v>
      </c>
      <c r="E3" t="s">
        <v>18</v>
      </c>
      <c r="F3" t="s">
        <v>19</v>
      </c>
      <c r="G3" t="s">
        <v>13</v>
      </c>
      <c r="H3" t="s">
        <v>20</v>
      </c>
      <c r="I3" t="s">
        <v>21</v>
      </c>
      <c r="J3" t="s">
        <v>16</v>
      </c>
      <c r="K3" t="s">
        <v>22</v>
      </c>
      <c r="L3" t="s">
        <v>23</v>
      </c>
      <c r="M3">
        <v>10</v>
      </c>
    </row>
    <row r="4" spans="1:13" x14ac:dyDescent="0.25">
      <c r="A4">
        <v>3</v>
      </c>
      <c r="B4" s="21">
        <v>46122.486527777779</v>
      </c>
      <c r="C4" s="21">
        <v>46122.48847222222</v>
      </c>
      <c r="D4" s="21">
        <f t="shared" si="0"/>
        <v>1.9444444405962713E-3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16</v>
      </c>
      <c r="K4" t="s">
        <v>29</v>
      </c>
      <c r="L4" t="s">
        <v>23</v>
      </c>
      <c r="M4">
        <v>10</v>
      </c>
    </row>
    <row r="5" spans="1:13" x14ac:dyDescent="0.25">
      <c r="A5">
        <v>4</v>
      </c>
      <c r="B5" s="21">
        <v>46122.51703703704</v>
      </c>
      <c r="C5" s="21">
        <v>46122.517824074072</v>
      </c>
      <c r="D5" s="21">
        <f t="shared" si="0"/>
        <v>7.8703703184146434E-4</v>
      </c>
      <c r="E5" t="s">
        <v>30</v>
      </c>
      <c r="F5" t="s">
        <v>31</v>
      </c>
      <c r="G5" t="s">
        <v>26</v>
      </c>
      <c r="H5" t="s">
        <v>32</v>
      </c>
      <c r="I5" t="s">
        <v>33</v>
      </c>
      <c r="J5" t="s">
        <v>16</v>
      </c>
      <c r="K5" t="s">
        <v>22</v>
      </c>
      <c r="L5" t="s">
        <v>16</v>
      </c>
      <c r="M5">
        <v>10</v>
      </c>
    </row>
    <row r="6" spans="1:13" x14ac:dyDescent="0.25">
      <c r="A6">
        <v>5</v>
      </c>
      <c r="B6" s="21">
        <v>46122.715648148151</v>
      </c>
      <c r="C6" s="21">
        <v>46122.717280092591</v>
      </c>
      <c r="D6" s="21">
        <f t="shared" si="0"/>
        <v>1.631944440305233E-3</v>
      </c>
      <c r="E6" t="s">
        <v>34</v>
      </c>
      <c r="F6" t="s">
        <v>35</v>
      </c>
      <c r="G6" t="s">
        <v>13</v>
      </c>
      <c r="H6" t="s">
        <v>36</v>
      </c>
      <c r="I6" t="s">
        <v>37</v>
      </c>
      <c r="J6" t="s">
        <v>16</v>
      </c>
      <c r="K6" t="s">
        <v>29</v>
      </c>
      <c r="L6" t="s">
        <v>16</v>
      </c>
      <c r="M6">
        <v>10</v>
      </c>
    </row>
    <row r="7" spans="1:13" x14ac:dyDescent="0.25">
      <c r="A7">
        <v>6</v>
      </c>
      <c r="B7" s="21">
        <v>46122.859571759262</v>
      </c>
      <c r="C7" s="21">
        <v>46122.860185185185</v>
      </c>
      <c r="D7" s="21">
        <f t="shared" si="0"/>
        <v>6.1342592380242422E-4</v>
      </c>
      <c r="E7" t="s">
        <v>38</v>
      </c>
      <c r="F7" t="s">
        <v>39</v>
      </c>
      <c r="G7" t="s">
        <v>13</v>
      </c>
      <c r="H7" t="s">
        <v>40</v>
      </c>
      <c r="I7" t="s">
        <v>41</v>
      </c>
      <c r="J7" t="s">
        <v>16</v>
      </c>
      <c r="K7" t="s">
        <v>29</v>
      </c>
      <c r="L7" t="s">
        <v>16</v>
      </c>
      <c r="M7">
        <v>10</v>
      </c>
    </row>
    <row r="8" spans="1:13" ht="15.75" thickBot="1" x14ac:dyDescent="0.3">
      <c r="A8" s="14"/>
      <c r="B8" s="21"/>
      <c r="C8" s="21"/>
      <c r="E8" s="22"/>
      <c r="F8" s="22"/>
      <c r="G8" s="22"/>
      <c r="H8" s="22"/>
      <c r="I8" s="22"/>
      <c r="J8" s="22"/>
      <c r="L8" s="22"/>
      <c r="M8" s="14">
        <f>AVERAGE(M2:M7)</f>
        <v>9.5</v>
      </c>
    </row>
    <row r="9" spans="1:13" ht="15.75" thickTop="1" x14ac:dyDescent="0.25">
      <c r="A9" t="s">
        <v>48</v>
      </c>
      <c r="B9" s="25">
        <f>AVERAGE(D2:D7)</f>
        <v>1.0165895012808808E-3</v>
      </c>
      <c r="K9" s="23"/>
    </row>
    <row r="10" spans="1:13" x14ac:dyDescent="0.25">
      <c r="A10" t="s">
        <v>49</v>
      </c>
      <c r="B10">
        <f>COUNTIF(OfficeForms.Table[How would you rate staff friendliness?],"Excellent")</f>
        <v>1</v>
      </c>
    </row>
    <row r="12" spans="1:13" x14ac:dyDescent="0.25">
      <c r="A12" t="s">
        <v>50</v>
      </c>
      <c r="B12">
        <f>COUNTIF(OfficeForms.Table[How would you rate staff friendliness?],"Average")</f>
        <v>2</v>
      </c>
    </row>
    <row r="13" spans="1:13" x14ac:dyDescent="0.25">
      <c r="A13" t="s">
        <v>51</v>
      </c>
      <c r="B13">
        <f>COUNTIF(OfficeForms.Table[How would you rate staff friendliness?],"Good")</f>
        <v>3</v>
      </c>
    </row>
    <row r="15" spans="1:13" ht="15.75" thickBot="1" x14ac:dyDescent="0.3"/>
    <row r="16" spans="1:13" ht="15.75" thickTop="1" x14ac:dyDescent="0.25">
      <c r="A16" t="s">
        <v>52</v>
      </c>
      <c r="B16" s="24">
        <f>COUNTIF(OfficeForms.Table[How satisfied were you with your meal at the Krusty Krab?],"Very satisfied")</f>
        <v>4</v>
      </c>
    </row>
    <row r="17" spans="1:2" x14ac:dyDescent="0.25">
      <c r="A17" t="s">
        <v>53</v>
      </c>
      <c r="B17">
        <f>COUNTIF(OfficeForms.Table[How satisfied were you with your meal at the Krusty Krab?],"Satisfied")</f>
        <v>2</v>
      </c>
    </row>
    <row r="20" spans="1:2" x14ac:dyDescent="0.25">
      <c r="A20" t="s">
        <v>54</v>
      </c>
      <c r="B20">
        <f>COUNTIF(OfficeForms.Table[Did you feel as though the prices were fair for what you purchased?],"Yes")</f>
        <v>4</v>
      </c>
    </row>
    <row r="21" spans="1:2" x14ac:dyDescent="0.25">
      <c r="A21" t="s">
        <v>55</v>
      </c>
      <c r="B21">
        <f>COUNTIF(OfficeForms.Table[Did you feel as though the prices were fair for what you purchased?],"Another Yes")</f>
        <v>2</v>
      </c>
    </row>
    <row r="23" spans="1:2" x14ac:dyDescent="0.25">
      <c r="A23" s="1" t="s">
        <v>65</v>
      </c>
    </row>
    <row r="24" spans="1:2" x14ac:dyDescent="0.25">
      <c r="A24" s="2" t="s">
        <v>60</v>
      </c>
    </row>
    <row r="25" spans="1:2" x14ac:dyDescent="0.25">
      <c r="A25" s="3" t="s">
        <v>64</v>
      </c>
    </row>
    <row r="26" spans="1:2" x14ac:dyDescent="0.25">
      <c r="A26" s="2" t="s">
        <v>63</v>
      </c>
    </row>
    <row r="27" spans="1:2" x14ac:dyDescent="0.25">
      <c r="A27" s="3" t="s">
        <v>60</v>
      </c>
    </row>
    <row r="28" spans="1:2" x14ac:dyDescent="0.25">
      <c r="A28" s="2" t="s">
        <v>60</v>
      </c>
    </row>
    <row r="29" spans="1:2" x14ac:dyDescent="0.25">
      <c r="A29" s="3" t="s">
        <v>60</v>
      </c>
    </row>
    <row r="30" spans="1:2" x14ac:dyDescent="0.25">
      <c r="A30" s="2" t="s">
        <v>61</v>
      </c>
    </row>
    <row r="31" spans="1:2" x14ac:dyDescent="0.25">
      <c r="A31" s="3" t="s">
        <v>60</v>
      </c>
    </row>
    <row r="32" spans="1:2" x14ac:dyDescent="0.25">
      <c r="A32" s="2" t="s">
        <v>62</v>
      </c>
    </row>
    <row r="33" spans="1:1" x14ac:dyDescent="0.25">
      <c r="A33" s="3" t="s">
        <v>64</v>
      </c>
    </row>
    <row r="34" spans="1:1" x14ac:dyDescent="0.25">
      <c r="A34" s="2" t="s">
        <v>63</v>
      </c>
    </row>
    <row r="35" spans="1:1" x14ac:dyDescent="0.25">
      <c r="A35" s="3" t="s">
        <v>63</v>
      </c>
    </row>
    <row r="37" spans="1:1" x14ac:dyDescent="0.25">
      <c r="A37" t="s">
        <v>7</v>
      </c>
    </row>
    <row r="38" spans="1:1" x14ac:dyDescent="0.25">
      <c r="A38" t="s">
        <v>70</v>
      </c>
    </row>
    <row r="39" spans="1:1" x14ac:dyDescent="0.25">
      <c r="A39" s="2" t="s">
        <v>67</v>
      </c>
    </row>
    <row r="40" spans="1:1" x14ac:dyDescent="0.25">
      <c r="A40" s="3" t="s">
        <v>69</v>
      </c>
    </row>
    <row r="41" spans="1:1" x14ac:dyDescent="0.25">
      <c r="A41" s="2" t="s">
        <v>68</v>
      </c>
    </row>
    <row r="42" spans="1:1" x14ac:dyDescent="0.25">
      <c r="A42" s="3" t="s">
        <v>67</v>
      </c>
    </row>
    <row r="43" spans="1:1" x14ac:dyDescent="0.25">
      <c r="A43" s="2" t="s">
        <v>69</v>
      </c>
    </row>
    <row r="44" spans="1:1" x14ac:dyDescent="0.25">
      <c r="A44" s="3" t="s">
        <v>71</v>
      </c>
    </row>
    <row r="45" spans="1:1" x14ac:dyDescent="0.25">
      <c r="A45" s="2" t="s">
        <v>67</v>
      </c>
    </row>
    <row r="46" spans="1:1" x14ac:dyDescent="0.25">
      <c r="A46" s="3" t="s">
        <v>69</v>
      </c>
    </row>
    <row r="47" spans="1:1" x14ac:dyDescent="0.25">
      <c r="A47" s="2" t="s">
        <v>68</v>
      </c>
    </row>
    <row r="48" spans="1:1" x14ac:dyDescent="0.25">
      <c r="A48" s="3" t="s">
        <v>67</v>
      </c>
    </row>
    <row r="49" spans="1:1" x14ac:dyDescent="0.25">
      <c r="A49" s="2" t="s">
        <v>69</v>
      </c>
    </row>
    <row r="50" spans="1:1" x14ac:dyDescent="0.25">
      <c r="A50" s="3" t="s">
        <v>71</v>
      </c>
    </row>
    <row r="51" spans="1:1" x14ac:dyDescent="0.25">
      <c r="A51" s="2" t="s">
        <v>68</v>
      </c>
    </row>
    <row r="52" spans="1:1" x14ac:dyDescent="0.25">
      <c r="A52" s="3" t="s">
        <v>71</v>
      </c>
    </row>
    <row r="53" spans="1:1" x14ac:dyDescent="0.25">
      <c r="A53" s="2" t="s">
        <v>67</v>
      </c>
    </row>
    <row r="54" spans="1:1" x14ac:dyDescent="0.25">
      <c r="A54" s="3" t="s">
        <v>68</v>
      </c>
    </row>
    <row r="55" spans="1:1" x14ac:dyDescent="0.25">
      <c r="A55" s="2" t="s">
        <v>71</v>
      </c>
    </row>
    <row r="56" spans="1:1" x14ac:dyDescent="0.25">
      <c r="A56" s="3" t="s">
        <v>67</v>
      </c>
    </row>
    <row r="57" spans="1:1" x14ac:dyDescent="0.25">
      <c r="A57" s="2" t="s">
        <v>69</v>
      </c>
    </row>
    <row r="58" spans="1:1" x14ac:dyDescent="0.25">
      <c r="A58" s="3" t="s">
        <v>67</v>
      </c>
    </row>
    <row r="59" spans="1:1" x14ac:dyDescent="0.25">
      <c r="A59" s="2" t="s">
        <v>69</v>
      </c>
    </row>
    <row r="60" spans="1:1" x14ac:dyDescent="0.25">
      <c r="A60" s="3" t="s">
        <v>67</v>
      </c>
    </row>
    <row r="61" spans="1:1" x14ac:dyDescent="0.25">
      <c r="A61" s="2" t="s">
        <v>70</v>
      </c>
    </row>
    <row r="62" spans="1:1" x14ac:dyDescent="0.25">
      <c r="A62" s="3" t="s">
        <v>71</v>
      </c>
    </row>
    <row r="63" spans="1:1" x14ac:dyDescent="0.25">
      <c r="A63" s="2" t="s">
        <v>71</v>
      </c>
    </row>
  </sheetData>
  <dataConsolidate function="var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756B-6F12-48EC-BA3E-D4291FB3ADAB}">
  <dimension ref="A1:B4"/>
  <sheetViews>
    <sheetView workbookViewId="0">
      <selection activeCell="A17" sqref="A17"/>
    </sheetView>
  </sheetViews>
  <sheetFormatPr defaultRowHeight="15" x14ac:dyDescent="0.25"/>
  <cols>
    <col min="1" max="1" width="13.28515625" bestFit="1" customWidth="1"/>
    <col min="2" max="2" width="62.140625" bestFit="1" customWidth="1"/>
  </cols>
  <sheetData>
    <row r="1" spans="1:2" x14ac:dyDescent="0.25">
      <c r="A1" s="26" t="s">
        <v>56</v>
      </c>
      <c r="B1" t="s">
        <v>58</v>
      </c>
    </row>
    <row r="2" spans="1:2" x14ac:dyDescent="0.25">
      <c r="A2" s="27" t="s">
        <v>26</v>
      </c>
      <c r="B2" s="14">
        <v>2</v>
      </c>
    </row>
    <row r="3" spans="1:2" x14ac:dyDescent="0.25">
      <c r="A3" s="27" t="s">
        <v>13</v>
      </c>
      <c r="B3" s="14">
        <v>4</v>
      </c>
    </row>
    <row r="4" spans="1:2" x14ac:dyDescent="0.25">
      <c r="A4" s="27" t="s">
        <v>57</v>
      </c>
      <c r="B4" s="14">
        <v>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130A-1226-485C-B2F8-1869A40831B9}">
  <dimension ref="A1:K7"/>
  <sheetViews>
    <sheetView workbookViewId="0">
      <selection activeCell="D23" sqref="D23"/>
    </sheetView>
  </sheetViews>
  <sheetFormatPr defaultRowHeight="15" x14ac:dyDescent="0.25"/>
  <sheetData>
    <row r="1" spans="1:11" ht="17.25" thickTop="1" thickBot="1" x14ac:dyDescent="0.3">
      <c r="A1" s="6" t="s">
        <v>43</v>
      </c>
      <c r="B1" s="7"/>
      <c r="C1" s="7"/>
      <c r="D1" s="7"/>
      <c r="E1" s="7"/>
      <c r="F1" s="17" t="s">
        <v>44</v>
      </c>
      <c r="G1" s="18"/>
      <c r="H1" s="18"/>
      <c r="I1" s="18"/>
      <c r="J1" s="18"/>
      <c r="K1" s="19"/>
    </row>
    <row r="2" spans="1:11" ht="15" customHeight="1" thickTop="1" x14ac:dyDescent="0.25">
      <c r="A2" s="8" t="s">
        <v>42</v>
      </c>
      <c r="B2" s="9"/>
      <c r="C2" s="9"/>
      <c r="D2" s="9"/>
      <c r="E2" s="9"/>
      <c r="F2" s="8" t="s">
        <v>46</v>
      </c>
      <c r="G2" s="9"/>
      <c r="H2" s="9"/>
      <c r="I2" s="9"/>
      <c r="J2" s="9"/>
      <c r="K2" s="10"/>
    </row>
    <row r="3" spans="1:11" ht="15.75" thickBot="1" x14ac:dyDescent="0.3">
      <c r="A3" s="11"/>
      <c r="B3" s="12"/>
      <c r="C3" s="12"/>
      <c r="D3" s="12"/>
      <c r="E3" s="12"/>
      <c r="F3" s="15"/>
      <c r="G3" s="5"/>
      <c r="H3" s="5"/>
      <c r="I3" s="5"/>
      <c r="J3" s="5"/>
      <c r="K3" s="16"/>
    </row>
    <row r="4" spans="1:11" ht="15.75" thickTop="1" x14ac:dyDescent="0.25">
      <c r="B4" s="4"/>
      <c r="C4" s="4"/>
      <c r="D4" s="4"/>
      <c r="E4" s="4"/>
      <c r="F4" s="15" t="s">
        <v>45</v>
      </c>
      <c r="G4" s="5"/>
      <c r="H4" s="5"/>
      <c r="I4" s="5"/>
      <c r="J4" s="5"/>
      <c r="K4" s="16"/>
    </row>
    <row r="5" spans="1:11" ht="15.75" thickBot="1" x14ac:dyDescent="0.3">
      <c r="A5" s="4"/>
      <c r="B5" s="4"/>
      <c r="C5" s="4"/>
      <c r="D5" s="4"/>
      <c r="E5" s="4"/>
      <c r="F5" s="11"/>
      <c r="G5" s="12"/>
      <c r="H5" s="12"/>
      <c r="I5" s="12"/>
      <c r="J5" s="12"/>
      <c r="K5" s="13"/>
    </row>
    <row r="6" spans="1:11" ht="15.75" thickTop="1" x14ac:dyDescent="0.25">
      <c r="A6" s="4"/>
      <c r="B6" s="4"/>
      <c r="C6" s="4"/>
      <c r="D6" s="4"/>
      <c r="E6" s="4"/>
      <c r="F6" s="20"/>
      <c r="G6" s="20"/>
      <c r="H6" s="20"/>
      <c r="I6" s="20"/>
      <c r="J6" s="20"/>
      <c r="K6" s="20"/>
    </row>
    <row r="7" spans="1:11" x14ac:dyDescent="0.25">
      <c r="F7" s="20"/>
      <c r="G7" s="20"/>
      <c r="H7" s="20"/>
      <c r="I7" s="20"/>
      <c r="J7" s="20"/>
      <c r="K7" s="20"/>
    </row>
  </sheetData>
  <mergeCells count="5">
    <mergeCell ref="A2:E3"/>
    <mergeCell ref="A1:E1"/>
    <mergeCell ref="F2:K3"/>
    <mergeCell ref="F1:K1"/>
    <mergeCell ref="F4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Sheet7</vt:lpstr>
      <vt:lpstr>Sheet4</vt:lpstr>
      <vt:lpstr>Sheet8</vt:lpstr>
      <vt:lpstr>Sheet1</vt:lpstr>
      <vt:lpstr>Sheet3</vt:lpstr>
      <vt:lpstr>Question Answers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 poulson</cp:lastModifiedBy>
  <cp:revision/>
  <dcterms:created xsi:type="dcterms:W3CDTF">2026-04-13T02:42:26Z</dcterms:created>
  <dcterms:modified xsi:type="dcterms:W3CDTF">2026-04-13T05:30:00Z</dcterms:modified>
  <cp:category/>
  <cp:contentStatus/>
</cp:coreProperties>
</file>