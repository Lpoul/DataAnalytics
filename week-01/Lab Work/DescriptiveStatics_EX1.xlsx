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mc:AlternateContent xmlns:mc="http://schemas.openxmlformats.org/markup-compatibility/2006">
    <mc:Choice Requires="x15">
      <x15ac:absPath xmlns:x15ac="http://schemas.microsoft.com/office/spreadsheetml/2010/11/ac" url="G:\Yu_Class 7\MOD 1\Class Lessons\Week 1\"/>
    </mc:Choice>
  </mc:AlternateContent>
  <xr:revisionPtr revIDLastSave="0" documentId="8_{4D85EC39-4148-4D83-87DE-64884FFA31E5}" xr6:coauthVersionLast="47" xr6:coauthVersionMax="47" xr10:uidLastSave="{00000000-0000-0000-0000-000000000000}"/>
  <bookViews>
    <workbookView xWindow="-2970" yWindow="1815" windowWidth="27870" windowHeight="12960" firstSheet="1" activeTab="1" xr2:uid="{00000000-000D-0000-FFFF-FFFF00000000}"/>
  </bookViews>
  <sheets>
    <sheet name="Sales_Data" sheetId="1" r:id="rId1"/>
    <sheet name="Exercis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3" i="2" l="1"/>
  <c r="I43" i="2"/>
  <c r="H42" i="2"/>
  <c r="E13" i="2"/>
  <c r="E18" i="2"/>
  <c r="E17" i="2"/>
  <c r="E16" i="2"/>
  <c r="E15" i="2"/>
  <c r="E14" i="2"/>
  <c r="G22" i="1"/>
</calcChain>
</file>

<file path=xl/sharedStrings.xml><?xml version="1.0" encoding="utf-8"?>
<sst xmlns="http://schemas.openxmlformats.org/spreadsheetml/2006/main" count="128" uniqueCount="65">
  <si>
    <t>Order_ID</t>
  </si>
  <si>
    <t>Region</t>
  </si>
  <si>
    <t>Sales_Rep</t>
  </si>
  <si>
    <t>Product_Category</t>
  </si>
  <si>
    <t>Units_Sold</t>
  </si>
  <si>
    <t>Unit_Price</t>
  </si>
  <si>
    <t>Revenue</t>
  </si>
  <si>
    <t>Customer_Rating</t>
  </si>
  <si>
    <t>North</t>
  </si>
  <si>
    <t>Adams</t>
  </si>
  <si>
    <t>Electronics</t>
  </si>
  <si>
    <t>West</t>
  </si>
  <si>
    <t>Diaz</t>
  </si>
  <si>
    <t>East</t>
  </si>
  <si>
    <t>Chen</t>
  </si>
  <si>
    <t>South</t>
  </si>
  <si>
    <t>Brown</t>
  </si>
  <si>
    <t>Furniture</t>
  </si>
  <si>
    <t>Office Supplies</t>
  </si>
  <si>
    <t>Business Analytics Exercise: Descriptive Statistics</t>
  </si>
  <si>
    <t>Scenario:</t>
  </si>
  <si>
    <t>You are a junior data analyst working for a retail company that sells electronics,</t>
  </si>
  <si>
    <t>furniture, and office supplies. Management wants to better understand sales</t>
  </si>
  <si>
    <t>performance across regions, product categories, and sales representatives.</t>
  </si>
  <si>
    <t>Your task is to use descriptive statistics in Excel to analyze the dataset and</t>
  </si>
  <si>
    <t>provide insights that help management make business decisions.</t>
  </si>
  <si>
    <t>Part 1: Descriptive Statistics</t>
  </si>
  <si>
    <t>Calculate the following for the Revenue column:</t>
  </si>
  <si>
    <t>Average Revenue</t>
  </si>
  <si>
    <t>Median Revenue</t>
  </si>
  <si>
    <t>Minimum Revenue</t>
  </si>
  <si>
    <t>Maximum Revenue</t>
  </si>
  <si>
    <t>Range of Revenue</t>
  </si>
  <si>
    <t>Standard Deviation of Revenue</t>
  </si>
  <si>
    <t>Part 2: Business Scenarios</t>
  </si>
  <si>
    <t>Scenario A – Regional Performance</t>
  </si>
  <si>
    <t>Management wants to know which region generates the highest revenue.</t>
  </si>
  <si>
    <t>1. Calculate the average revenue by region.</t>
  </si>
  <si>
    <t>2. Which region performs the best?</t>
  </si>
  <si>
    <t xml:space="preserve">The West Region </t>
  </si>
  <si>
    <t>3. What recommendation would you give management?</t>
  </si>
  <si>
    <t>I would recommend management look at the West Region and see if they are able to replicate the sucess for the other regions</t>
  </si>
  <si>
    <t>Scenario B – Product Category Insights</t>
  </si>
  <si>
    <t>The company wants to understand which product category generates the most revenue.</t>
  </si>
  <si>
    <t>1. Calculate the average revenue for each product category.</t>
  </si>
  <si>
    <t>2. Which category performs best?</t>
  </si>
  <si>
    <t>3. Which category appears weakest?</t>
  </si>
  <si>
    <t>Scenario C – Sales Representative Performance</t>
  </si>
  <si>
    <t>Managers want to evaluate sales representative performance.</t>
  </si>
  <si>
    <t>1. Calculate the total or average revenue generated by each sales representative.</t>
  </si>
  <si>
    <t>2. Which representative performs best?</t>
  </si>
  <si>
    <t>3. What factors might explain the differences?</t>
  </si>
  <si>
    <t xml:space="preserve"> Unit Price and Units Sold are factors that might explain the differences in revenue.</t>
  </si>
  <si>
    <t>Scenario D – Customer Satisfaction</t>
  </si>
  <si>
    <t>Customer ratings represent satisfaction scores from 1 to 5.</t>
  </si>
  <si>
    <t>1. Calculate the average customer rating.</t>
  </si>
  <si>
    <t>2. Identify the minimum and maximum ratings.</t>
  </si>
  <si>
    <t>Min</t>
  </si>
  <si>
    <t>Max</t>
  </si>
  <si>
    <t>3. What might management infer about customer satisfaction?</t>
  </si>
  <si>
    <t xml:space="preserve">Management can infer that customers are very satisfied by the office supplies that they are buying. They can also infer that the customers feel a bit mediocore about the electronics that they are buying since the satisfaction is on the lower side of 4 stars and the start of 3 stars. Last but not least, for furnature management can infer that customers are feeling a bit unsatisfied with that product. Even though we only have a sample set of 5 for electronics and furnature, the data shows a negitive </t>
  </si>
  <si>
    <t>Part 3: Interpretation</t>
  </si>
  <si>
    <t>Write a short summary (4–6 sentences) explaining the key insights</t>
  </si>
  <si>
    <t>you discovered from the descriptive statistics.</t>
  </si>
  <si>
    <t>Some key insights that I discovered from the statistics is what products could be improved upon to increase customer satisfaction. Which regions are doing well, so management can see if their results can be duplicated to the other reigions. Using the data tab and having multipule custom sort filters helped me figure out what details management can infer about the customer satisfaction. I also learned how descriptive statistics highlights the different patterns that effect performance and highlight them for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</si>
</sst>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font>
      <sz val="11"/>
      <color theme="1"/>
      <name val="Calibri"/>
      <family val="2"/>
      <scheme val="minor"/>
    </font>
    <font>
      <b/>
      <sz val="11"/>
      <color theme="3"/>
      <name val="Calibri"/>
      <family val="2"/>
      <scheme val="minor"/>
    </font>
    <font>
      <sz val="11"/>
      <color rgb="FF242424"/>
      <name val="Aptos Narrow"/>
      <charset val="1"/>
    </font>
  </fonts>
  <fills count="2">
    <fill>
      <patternFill patternType="none"/>
    </fill>
    <fill>
      <patternFill patternType="gray125"/>
    </fill>
  </fills>
  <borders count="2">
    <border>
      <left/>
      <right/>
      <top/>
      <bottom/>
      <diagonal/>
    </border>
    <border>
      <left/>
      <right/>
      <top/>
      <bottom style="medium">
        <color theme="4" tint="0.39997558519241921"/>
      </bottom>
      <diagonal/>
    </border>
  </borders>
  <cellStyleXfs count="2">
    <xf numFmtId="0" fontId="0" fillId="0" borderId="0"/>
    <xf numFmtId="0" fontId="1" fillId="0" borderId="1" applyNumberFormat="0" applyFill="0" applyAlignment="0" applyProtection="0"/>
  </cellStyleXfs>
  <cellXfs count="6">
    <xf numFmtId="0" fontId="0" fillId="0" borderId="0" xfId="0"/>
    <xf numFmtId="0" fontId="0" fillId="0" borderId="0" xfId="0" applyAlignment="1">
      <alignment horizontal="center"/>
    </xf>
    <xf numFmtId="0" fontId="1" fillId="0" borderId="1" xfId="1"/>
    <xf numFmtId="0" fontId="2" fillId="0" borderId="0" xfId="0" applyFont="1"/>
    <xf numFmtId="164" fontId="0" fillId="0" borderId="0" xfId="0" applyNumberFormat="1" applyAlignment="1">
      <alignment wrapText="1"/>
    </xf>
    <xf numFmtId="164" fontId="0" fillId="0" borderId="0" xfId="0" applyNumberFormat="1"/>
  </cellXfs>
  <cellStyles count="2">
    <cellStyle name="Heading 3" xfId="1" builtinId="1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workbookViewId="0">
      <selection activeCell="H10" sqref="H10"/>
    </sheetView>
  </sheetViews>
  <sheetFormatPr defaultRowHeight="15"/>
  <cols>
    <col min="1" max="1" width="9" bestFit="1" customWidth="1"/>
    <col min="2" max="2" width="7.140625" bestFit="1" customWidth="1"/>
    <col min="4" max="4" width="16.85546875" bestFit="1" customWidth="1"/>
    <col min="5" max="5" width="10.42578125" bestFit="1" customWidth="1"/>
    <col min="6" max="6" width="10.140625" bestFit="1" customWidth="1"/>
    <col min="7" max="7" width="8.85546875" bestFit="1" customWidth="1"/>
    <col min="8" max="8" width="16.28515625" bestFit="1" customWidth="1"/>
  </cols>
  <sheetData>
    <row r="1" spans="1:8" ht="24" customHeight="1" thickBot="1">
      <c r="A1" s="2" t="s">
        <v>0</v>
      </c>
      <c r="B1" s="2" t="s">
        <v>1</v>
      </c>
      <c r="C1" s="2" t="s">
        <v>2</v>
      </c>
      <c r="D1" s="2" t="s">
        <v>3</v>
      </c>
      <c r="E1" s="2" t="s">
        <v>4</v>
      </c>
      <c r="F1" s="2" t="s">
        <v>5</v>
      </c>
      <c r="G1" s="2" t="s">
        <v>6</v>
      </c>
      <c r="H1" s="2" t="s">
        <v>7</v>
      </c>
    </row>
    <row r="2" spans="1:8">
      <c r="A2" s="1">
        <v>1001</v>
      </c>
      <c r="B2" t="s">
        <v>8</v>
      </c>
      <c r="C2" t="s">
        <v>9</v>
      </c>
      <c r="D2" t="s">
        <v>10</v>
      </c>
      <c r="E2" s="1">
        <v>5</v>
      </c>
      <c r="F2">
        <v>320</v>
      </c>
      <c r="G2">
        <v>1600</v>
      </c>
      <c r="H2" s="1">
        <v>4.5</v>
      </c>
    </row>
    <row r="3" spans="1:8">
      <c r="A3" s="1">
        <v>1008</v>
      </c>
      <c r="B3" t="s">
        <v>11</v>
      </c>
      <c r="C3" t="s">
        <v>12</v>
      </c>
      <c r="D3" t="s">
        <v>10</v>
      </c>
      <c r="E3" s="1">
        <v>6</v>
      </c>
      <c r="F3">
        <v>295</v>
      </c>
      <c r="G3">
        <v>1770</v>
      </c>
      <c r="H3" s="1">
        <v>4.4000000000000004</v>
      </c>
    </row>
    <row r="4" spans="1:8">
      <c r="A4" s="1">
        <v>1020</v>
      </c>
      <c r="B4" t="s">
        <v>11</v>
      </c>
      <c r="C4" t="s">
        <v>12</v>
      </c>
      <c r="D4" t="s">
        <v>10</v>
      </c>
      <c r="E4" s="1">
        <v>8</v>
      </c>
      <c r="F4">
        <v>310</v>
      </c>
      <c r="G4">
        <v>2480</v>
      </c>
      <c r="H4" s="1">
        <v>4.4000000000000004</v>
      </c>
    </row>
    <row r="5" spans="1:8">
      <c r="A5" s="1">
        <v>1013</v>
      </c>
      <c r="B5" t="s">
        <v>8</v>
      </c>
      <c r="C5" t="s">
        <v>9</v>
      </c>
      <c r="D5" t="s">
        <v>10</v>
      </c>
      <c r="E5" s="1">
        <v>7</v>
      </c>
      <c r="F5">
        <v>315</v>
      </c>
      <c r="G5">
        <v>2205</v>
      </c>
      <c r="H5" s="1">
        <v>4.2</v>
      </c>
    </row>
    <row r="6" spans="1:8">
      <c r="A6" s="1">
        <v>1015</v>
      </c>
      <c r="B6" t="s">
        <v>13</v>
      </c>
      <c r="C6" t="s">
        <v>14</v>
      </c>
      <c r="D6" t="s">
        <v>10</v>
      </c>
      <c r="E6" s="1">
        <v>5</v>
      </c>
      <c r="F6">
        <v>305</v>
      </c>
      <c r="G6">
        <v>1525</v>
      </c>
      <c r="H6" s="1">
        <v>4.0999999999999996</v>
      </c>
    </row>
    <row r="7" spans="1:8">
      <c r="A7" s="1">
        <v>1003</v>
      </c>
      <c r="B7" t="s">
        <v>13</v>
      </c>
      <c r="C7" t="s">
        <v>14</v>
      </c>
      <c r="D7" t="s">
        <v>10</v>
      </c>
      <c r="E7" s="1">
        <v>3</v>
      </c>
      <c r="F7">
        <v>300</v>
      </c>
      <c r="G7">
        <v>900</v>
      </c>
      <c r="H7" s="1">
        <v>3.9</v>
      </c>
    </row>
    <row r="8" spans="1:8">
      <c r="A8" s="1">
        <v>1006</v>
      </c>
      <c r="B8" t="s">
        <v>15</v>
      </c>
      <c r="C8" t="s">
        <v>16</v>
      </c>
      <c r="D8" t="s">
        <v>10</v>
      </c>
      <c r="E8" s="1">
        <v>4</v>
      </c>
      <c r="F8">
        <v>310</v>
      </c>
      <c r="G8">
        <v>1240</v>
      </c>
      <c r="H8" s="1">
        <v>3.8</v>
      </c>
    </row>
    <row r="9" spans="1:8">
      <c r="A9" s="1">
        <v>1018</v>
      </c>
      <c r="B9" t="s">
        <v>15</v>
      </c>
      <c r="C9" t="s">
        <v>16</v>
      </c>
      <c r="D9" t="s">
        <v>10</v>
      </c>
      <c r="E9" s="1">
        <v>3</v>
      </c>
      <c r="F9">
        <v>299</v>
      </c>
      <c r="G9">
        <v>897</v>
      </c>
      <c r="H9" s="1">
        <v>3.7</v>
      </c>
    </row>
    <row r="10" spans="1:8">
      <c r="A10" s="1">
        <v>1011</v>
      </c>
      <c r="B10" t="s">
        <v>13</v>
      </c>
      <c r="C10" t="s">
        <v>14</v>
      </c>
      <c r="D10" t="s">
        <v>17</v>
      </c>
      <c r="E10" s="1">
        <v>2</v>
      </c>
      <c r="F10">
        <v>950</v>
      </c>
      <c r="G10">
        <v>1900</v>
      </c>
      <c r="H10" s="1">
        <v>4.3</v>
      </c>
    </row>
    <row r="11" spans="1:8">
      <c r="A11" s="1">
        <v>1002</v>
      </c>
      <c r="B11" t="s">
        <v>15</v>
      </c>
      <c r="C11" t="s">
        <v>16</v>
      </c>
      <c r="D11" t="s">
        <v>17</v>
      </c>
      <c r="E11" s="1">
        <v>2</v>
      </c>
      <c r="F11">
        <v>850</v>
      </c>
      <c r="G11">
        <v>1700</v>
      </c>
      <c r="H11" s="1">
        <v>4.2</v>
      </c>
    </row>
    <row r="12" spans="1:8">
      <c r="A12" s="1">
        <v>1005</v>
      </c>
      <c r="B12" t="s">
        <v>8</v>
      </c>
      <c r="C12" t="s">
        <v>9</v>
      </c>
      <c r="D12" t="s">
        <v>17</v>
      </c>
      <c r="E12" s="1">
        <v>1</v>
      </c>
      <c r="F12">
        <v>1200</v>
      </c>
      <c r="G12">
        <v>1200</v>
      </c>
      <c r="H12" s="1">
        <v>4.0999999999999996</v>
      </c>
    </row>
    <row r="13" spans="1:8">
      <c r="A13" s="1">
        <v>1010</v>
      </c>
      <c r="B13" t="s">
        <v>15</v>
      </c>
      <c r="C13" t="s">
        <v>16</v>
      </c>
      <c r="D13" t="s">
        <v>17</v>
      </c>
      <c r="E13" s="1">
        <v>3</v>
      </c>
      <c r="F13">
        <v>900</v>
      </c>
      <c r="G13">
        <v>2700</v>
      </c>
      <c r="H13" s="1">
        <v>4</v>
      </c>
    </row>
    <row r="14" spans="1:8">
      <c r="A14" s="1">
        <v>1016</v>
      </c>
      <c r="B14" t="s">
        <v>11</v>
      </c>
      <c r="C14" t="s">
        <v>12</v>
      </c>
      <c r="D14" t="s">
        <v>17</v>
      </c>
      <c r="E14" s="1">
        <v>2</v>
      </c>
      <c r="F14">
        <v>980</v>
      </c>
      <c r="G14">
        <v>1960</v>
      </c>
      <c r="H14" s="1">
        <v>3.9</v>
      </c>
    </row>
    <row r="15" spans="1:8">
      <c r="A15" s="1">
        <v>1012</v>
      </c>
      <c r="B15" t="s">
        <v>11</v>
      </c>
      <c r="C15" t="s">
        <v>12</v>
      </c>
      <c r="D15" t="s">
        <v>18</v>
      </c>
      <c r="E15" s="1">
        <v>25</v>
      </c>
      <c r="F15">
        <v>23</v>
      </c>
      <c r="G15">
        <v>575</v>
      </c>
      <c r="H15" s="1">
        <v>4.9000000000000004</v>
      </c>
    </row>
    <row r="16" spans="1:8">
      <c r="A16" s="1">
        <v>1009</v>
      </c>
      <c r="B16" t="s">
        <v>8</v>
      </c>
      <c r="C16" t="s">
        <v>9</v>
      </c>
      <c r="D16" t="s">
        <v>18</v>
      </c>
      <c r="E16" s="1">
        <v>18</v>
      </c>
      <c r="F16">
        <v>24</v>
      </c>
      <c r="G16">
        <v>432</v>
      </c>
      <c r="H16" s="1">
        <v>4.8</v>
      </c>
    </row>
    <row r="17" spans="1:8">
      <c r="A17" s="1">
        <v>1017</v>
      </c>
      <c r="B17" t="s">
        <v>8</v>
      </c>
      <c r="C17" t="s">
        <v>9</v>
      </c>
      <c r="D17" t="s">
        <v>18</v>
      </c>
      <c r="E17" s="1">
        <v>22</v>
      </c>
      <c r="F17">
        <v>24</v>
      </c>
      <c r="G17">
        <v>528</v>
      </c>
      <c r="H17" s="1">
        <v>4.7</v>
      </c>
    </row>
    <row r="18" spans="1:8">
      <c r="A18" s="1">
        <v>1004</v>
      </c>
      <c r="B18" t="s">
        <v>11</v>
      </c>
      <c r="C18" t="s">
        <v>12</v>
      </c>
      <c r="D18" t="s">
        <v>18</v>
      </c>
      <c r="E18" s="1">
        <v>20</v>
      </c>
      <c r="F18">
        <v>25</v>
      </c>
      <c r="G18">
        <v>500</v>
      </c>
      <c r="H18" s="1">
        <v>4.7</v>
      </c>
    </row>
    <row r="19" spans="1:8">
      <c r="A19" s="1">
        <v>1007</v>
      </c>
      <c r="B19" t="s">
        <v>13</v>
      </c>
      <c r="C19" t="s">
        <v>14</v>
      </c>
      <c r="D19" t="s">
        <v>18</v>
      </c>
      <c r="E19" s="1">
        <v>15</v>
      </c>
      <c r="F19">
        <v>22</v>
      </c>
      <c r="G19">
        <v>330</v>
      </c>
      <c r="H19" s="1">
        <v>4.5999999999999996</v>
      </c>
    </row>
    <row r="20" spans="1:8">
      <c r="A20" s="1">
        <v>1014</v>
      </c>
      <c r="B20" t="s">
        <v>15</v>
      </c>
      <c r="C20" t="s">
        <v>16</v>
      </c>
      <c r="D20" t="s">
        <v>18</v>
      </c>
      <c r="E20" s="1">
        <v>30</v>
      </c>
      <c r="F20">
        <v>21</v>
      </c>
      <c r="G20">
        <v>630</v>
      </c>
      <c r="H20" s="1">
        <v>4.5999999999999996</v>
      </c>
    </row>
    <row r="21" spans="1:8">
      <c r="A21" s="1">
        <v>1019</v>
      </c>
      <c r="B21" t="s">
        <v>13</v>
      </c>
      <c r="C21" t="s">
        <v>14</v>
      </c>
      <c r="D21" t="s">
        <v>18</v>
      </c>
      <c r="E21" s="1">
        <v>19</v>
      </c>
      <c r="F21">
        <v>23</v>
      </c>
      <c r="G21">
        <v>437</v>
      </c>
      <c r="H21" s="1">
        <v>4.5</v>
      </c>
    </row>
    <row r="22" spans="1:8">
      <c r="G22">
        <f>MEDIAN(G2:G21)</f>
        <v>1220</v>
      </c>
    </row>
  </sheetData>
  <sortState xmlns:xlrd2="http://schemas.microsoft.com/office/spreadsheetml/2017/richdata2" ref="A2:H22">
    <sortCondition ref="D2:D22"/>
    <sortCondition descending="1" ref="H2:H22"/>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0"/>
  <sheetViews>
    <sheetView tabSelected="1" topLeftCell="A45" workbookViewId="0">
      <selection activeCell="A50" sqref="A50"/>
    </sheetView>
  </sheetViews>
  <sheetFormatPr defaultRowHeight="15"/>
  <cols>
    <col min="1" max="1" width="9.28515625" customWidth="1"/>
    <col min="5" max="5" width="9.85546875" bestFit="1" customWidth="1"/>
    <col min="9" max="16" width="9.85546875" bestFit="1" customWidth="1"/>
  </cols>
  <sheetData>
    <row r="1" spans="1:5">
      <c r="A1" t="s">
        <v>19</v>
      </c>
    </row>
    <row r="3" spans="1:5">
      <c r="A3" t="s">
        <v>20</v>
      </c>
    </row>
    <row r="4" spans="1:5">
      <c r="A4" t="s">
        <v>21</v>
      </c>
    </row>
    <row r="5" spans="1:5">
      <c r="A5" t="s">
        <v>22</v>
      </c>
    </row>
    <row r="6" spans="1:5">
      <c r="A6" t="s">
        <v>23</v>
      </c>
    </row>
    <row r="8" spans="1:5">
      <c r="A8" t="s">
        <v>24</v>
      </c>
    </row>
    <row r="9" spans="1:5">
      <c r="A9" t="s">
        <v>25</v>
      </c>
    </row>
    <row r="11" spans="1:5">
      <c r="A11" t="s">
        <v>26</v>
      </c>
    </row>
    <row r="12" spans="1:5">
      <c r="A12" t="s">
        <v>27</v>
      </c>
    </row>
    <row r="13" spans="1:5">
      <c r="A13" t="s">
        <v>28</v>
      </c>
      <c r="E13" s="4">
        <f>AVERAGE(Sales_Data!G2:G21)</f>
        <v>1275.45</v>
      </c>
    </row>
    <row r="14" spans="1:5">
      <c r="A14" t="s">
        <v>29</v>
      </c>
      <c r="E14" s="5">
        <f>MEDIAN(Sales_Data!G2:G21)</f>
        <v>1220</v>
      </c>
    </row>
    <row r="15" spans="1:5">
      <c r="A15" t="s">
        <v>30</v>
      </c>
      <c r="E15" s="5">
        <f>MIN(Sales_Data!G2:G21)</f>
        <v>330</v>
      </c>
    </row>
    <row r="16" spans="1:5">
      <c r="A16" t="s">
        <v>31</v>
      </c>
      <c r="C16" s="3"/>
      <c r="E16" s="5">
        <f>MAX(Sales_Data!G2:G21)</f>
        <v>2700</v>
      </c>
    </row>
    <row r="17" spans="1:15">
      <c r="A17" t="s">
        <v>32</v>
      </c>
      <c r="E17" s="5">
        <f>MAX(Sales_Data!G2:G21) - MIN(Sales_Data!G2:G21)</f>
        <v>2370</v>
      </c>
    </row>
    <row r="18" spans="1:15">
      <c r="A18" t="s">
        <v>33</v>
      </c>
      <c r="E18" s="5">
        <f>STDEV(Sales_Data!G2:G21)</f>
        <v>742.04932982567732</v>
      </c>
    </row>
    <row r="20" spans="1:15">
      <c r="A20" t="s">
        <v>34</v>
      </c>
    </row>
    <row r="22" spans="1:15">
      <c r="A22" t="s">
        <v>35</v>
      </c>
    </row>
    <row r="23" spans="1:15">
      <c r="A23" t="s">
        <v>36</v>
      </c>
    </row>
    <row r="24" spans="1:15">
      <c r="A24" t="s">
        <v>37</v>
      </c>
      <c r="H24" t="s">
        <v>13</v>
      </c>
      <c r="I24" s="5">
        <v>1018.4</v>
      </c>
      <c r="J24" t="s">
        <v>8</v>
      </c>
      <c r="K24" s="5">
        <v>1193</v>
      </c>
      <c r="L24" t="s">
        <v>15</v>
      </c>
      <c r="M24" s="5">
        <v>1433.4</v>
      </c>
      <c r="N24" t="s">
        <v>11</v>
      </c>
      <c r="O24" s="5">
        <v>1457</v>
      </c>
    </row>
    <row r="25" spans="1:15">
      <c r="A25" t="s">
        <v>38</v>
      </c>
      <c r="H25" t="s">
        <v>39</v>
      </c>
    </row>
    <row r="26" spans="1:15">
      <c r="A26" t="s">
        <v>40</v>
      </c>
      <c r="H26" t="s">
        <v>41</v>
      </c>
    </row>
    <row r="28" spans="1:15">
      <c r="A28" t="s">
        <v>42</v>
      </c>
    </row>
    <row r="29" spans="1:15">
      <c r="A29" t="s">
        <v>43</v>
      </c>
    </row>
    <row r="30" spans="1:15">
      <c r="A30" t="s">
        <v>44</v>
      </c>
      <c r="H30" t="s">
        <v>10</v>
      </c>
      <c r="J30" s="5">
        <v>1577.13</v>
      </c>
      <c r="K30" t="s">
        <v>17</v>
      </c>
      <c r="L30" s="5">
        <v>1892</v>
      </c>
      <c r="M30" t="s">
        <v>18</v>
      </c>
      <c r="O30" s="5">
        <v>490.29</v>
      </c>
    </row>
    <row r="31" spans="1:15">
      <c r="A31" t="s">
        <v>45</v>
      </c>
      <c r="H31" t="s">
        <v>17</v>
      </c>
    </row>
    <row r="32" spans="1:15">
      <c r="A32" t="s">
        <v>46</v>
      </c>
      <c r="H32" t="s">
        <v>18</v>
      </c>
    </row>
    <row r="34" spans="1:16">
      <c r="A34" t="s">
        <v>47</v>
      </c>
    </row>
    <row r="35" spans="1:16">
      <c r="A35" t="s">
        <v>48</v>
      </c>
    </row>
    <row r="36" spans="1:16">
      <c r="A36" t="s">
        <v>49</v>
      </c>
      <c r="I36" t="s">
        <v>9</v>
      </c>
      <c r="J36" s="5">
        <v>1193</v>
      </c>
      <c r="K36" t="s">
        <v>16</v>
      </c>
      <c r="L36" s="5">
        <v>1433.4</v>
      </c>
      <c r="M36" t="s">
        <v>14</v>
      </c>
      <c r="N36" s="5">
        <v>1018.4</v>
      </c>
      <c r="O36" t="s">
        <v>12</v>
      </c>
      <c r="P36" s="5">
        <v>1457</v>
      </c>
    </row>
    <row r="37" spans="1:16">
      <c r="A37" t="s">
        <v>50</v>
      </c>
      <c r="I37" t="s">
        <v>12</v>
      </c>
    </row>
    <row r="38" spans="1:16">
      <c r="A38" t="s">
        <v>51</v>
      </c>
      <c r="I38" t="s">
        <v>52</v>
      </c>
    </row>
    <row r="40" spans="1:16">
      <c r="A40" t="s">
        <v>53</v>
      </c>
    </row>
    <row r="41" spans="1:16">
      <c r="A41" t="s">
        <v>54</v>
      </c>
    </row>
    <row r="42" spans="1:16">
      <c r="A42" t="s">
        <v>55</v>
      </c>
      <c r="H42">
        <f>AVERAGE(Sales_Data!H2:H21)</f>
        <v>4.3149999999999995</v>
      </c>
    </row>
    <row r="43" spans="1:16">
      <c r="A43" t="s">
        <v>56</v>
      </c>
      <c r="H43" t="s">
        <v>57</v>
      </c>
      <c r="I43">
        <f>MIN(Sales_Data!H2:H21)</f>
        <v>3.7</v>
      </c>
      <c r="J43" t="s">
        <v>58</v>
      </c>
      <c r="K43">
        <f>MAX(Sales_Data!H2:H21)</f>
        <v>4.9000000000000004</v>
      </c>
    </row>
    <row r="44" spans="1:16">
      <c r="A44" t="s">
        <v>59</v>
      </c>
      <c r="H44" t="s">
        <v>60</v>
      </c>
    </row>
    <row r="46" spans="1:16">
      <c r="A46" t="s">
        <v>61</v>
      </c>
    </row>
    <row r="47" spans="1:16">
      <c r="A47" t="s">
        <v>62</v>
      </c>
    </row>
    <row r="48" spans="1:16">
      <c r="A48" t="s">
        <v>63</v>
      </c>
    </row>
    <row r="50" spans="1:1">
      <c r="A50"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2026-04-07T19:25:39Z</dcterms:created>
  <dcterms:modified xsi:type="dcterms:W3CDTF">2026-04-09T01:02:01Z</dcterms:modified>
  <cp:category/>
  <cp:contentStatus/>
</cp:coreProperties>
</file>